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<sst xmlns="http://schemas.openxmlformats.org/spreadsheetml/2006/main" count="63" uniqueCount="54">
  <si>
    <t xml:space="preserve">StarBoy Bill of Materials (USD, vendor: LCSC)</t>
  </si>
  <si>
    <t xml:space="preserve">Blue = hardcoded inputs (prices/quantities). Black = formulas. Yellow = unverified estimates; replace with real LCSC listing prices.</t>
  </si>
  <si>
    <t xml:space="preserve">Part</t>
  </si>
  <si>
    <t xml:space="preserve">LCSC Part #</t>
  </si>
  <si>
    <t xml:space="preserve">What it's for</t>
  </si>
  <si>
    <t xml:space="preserve">Qty</t>
  </si>
  <si>
    <t xml:space="preserve">Unit $</t>
  </si>
  <si>
    <t xml:space="preserve">Line total $</t>
  </si>
  <si>
    <t xml:space="preserve">Vendor</t>
  </si>
  <si>
    <t xml:space="preserve">Link</t>
  </si>
  <si>
    <t xml:space="preserve">Notes</t>
  </si>
  <si>
    <t xml:space="preserve">ESP32-C3-WROOM-02-N4</t>
  </si>
  <si>
    <t xml:space="preserve">C2934560</t>
  </si>
  <si>
    <t xml:space="preserve">Wi-Fi/BLE and the main loop</t>
  </si>
  <si>
    <t xml:space="preserve">LCSC</t>
  </si>
  <si>
    <t xml:space="preserve">lcsc.com/product-detail/C2934560.html</t>
  </si>
  <si>
    <t xml:space="preserve">AP2112K-3.3TRG1</t>
  </si>
  <si>
    <t xml:space="preserve">C51118</t>
  </si>
  <si>
    <t xml:space="preserve">3.3 V regulator powering the ESP32 and peripherals from USB 5 V</t>
  </si>
  <si>
    <t xml:space="preserve">lcsc.com/product-detail/C51118.html</t>
  </si>
  <si>
    <t xml:space="preserve">LCSC tiers start at 5 pcs; 1-pc price may be slightly higher</t>
  </si>
  <si>
    <t xml:space="preserve">TYPE-C-31-M-12 USB-C 16-pin receptacle</t>
  </si>
  <si>
    <t xml:space="preserve">C165948</t>
  </si>
  <si>
    <t xml:space="preserve">Power and programming/USB</t>
  </si>
  <si>
    <t xml:space="preserve">lcsc.com/product-detail/C165948.html</t>
  </si>
  <si>
    <t xml:space="preserve">PCF8574AP I/O expander (DIP-16)</t>
  </si>
  <si>
    <t xml:space="preserve">C398072</t>
  </si>
  <si>
    <t xml:space="preserve">Extra GPIO over I2C (buttons/LEDs)</t>
  </si>
  <si>
    <t xml:space="preserve">lcsc.com/product-detail/C398072.html</t>
  </si>
  <si>
    <t xml:space="preserve">Low stock; PCF8574P (C398073) is a near-identical alternative</t>
  </si>
  <si>
    <t xml:space="preserve">DHT11 temperature/humidity sensor</t>
  </si>
  <si>
    <t xml:space="preserve">C117051</t>
  </si>
  <si>
    <t xml:space="preserve">Environment sensing</t>
  </si>
  <si>
    <t xml:space="preserve">lcsc.com/product-detail/C117051.html</t>
  </si>
  <si>
    <t xml:space="preserve">Prices seen ranged $1.04-$1.41 across listings</t>
  </si>
  <si>
    <t xml:space="preserve">6 mm THT tactile push buttons</t>
  </si>
  <si>
    <t xml:space="preserve">D-pad and extra input buttons</t>
  </si>
  <si>
    <t xml:space="preserve">search "6x6 tactile switch THT" on lcsc.com</t>
  </si>
  <si>
    <t xml:space="preserve">Estimate, not verified</t>
  </si>
  <si>
    <t xml:space="preserve">1x07 2.54 mm pin header</t>
  </si>
  <si>
    <t xml:space="preserve">OLED/sensor socket</t>
  </si>
  <si>
    <t xml:space="preserve">search "1x7 2.54mm female header" on lcsc.com</t>
  </si>
  <si>
    <t xml:space="preserve">MPU6050 module</t>
  </si>
  <si>
    <t xml:space="preserve">Motion and tilt sensing</t>
  </si>
  <si>
    <t xml:space="preserve">not checked</t>
  </si>
  <si>
    <t xml:space="preserve">Footprint is SOIC-16; bare chip vs. GY-521 breakout needs deciding. Add price once chosen</t>
  </si>
  <si>
    <t xml:space="preserve">Passives (0805): 6 caps, 13 resistors, 4 LEDs</t>
  </si>
  <si>
    <t xml:space="preserve">Decoupling, LED current limiting, pull-ups, USB-C CC resistors, status LEDs</t>
  </si>
  <si>
    <t xml:space="preserve">search each value + "0805" on lcsc.com</t>
  </si>
  <si>
    <t xml:space="preserve">Estimate, not verified. Caps: 4x10uF, 2x100nF. Resistors: 4x150R, 4x330R, 3x10k, 2x5.1k</t>
  </si>
  <si>
    <t xml:space="preserve">Total (priced items only)</t>
  </si>
  <si>
    <t xml:space="preserve">Sources: LCSC product pages and mirrors (Flux/JLCPCB) viewed Oct 2026. Prices change and vary by page.</t>
  </si>
  <si>
    <t xml:space="preserve">Excludes shipping and LCSC small-order fees (shipping to Dubai may be significant).</t>
  </si>
  <si>
    <t xml:space="preserve">Minimum cost per item on the submission form is $0.01.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</si>
</sst>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B3FA0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3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46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5" t="n">
        <v>1</v>
      </c>
      <c r="E5" s="6" t="n">
        <v>3.31</v>
      </c>
      <c r="F5" s="7" t="n">
        <f aca="false">D5*E5</f>
        <v>3.31</v>
      </c>
      <c r="G5" s="4" t="s">
        <v>14</v>
      </c>
      <c r="H5" s="4" t="s">
        <v>15</v>
      </c>
      <c r="I5" s="4"/>
    </row>
    <row r="6" customFormat="false" ht="23.85" hidden="false" customHeight="false" outlineLevel="0" collapsed="false">
      <c r="A6" s="4" t="s">
        <v>16</v>
      </c>
      <c r="B6" s="4" t="s">
        <v>17</v>
      </c>
      <c r="C6" s="4" t="s">
        <v>18</v>
      </c>
      <c r="D6" s="5" t="n">
        <v>1</v>
      </c>
      <c r="E6" s="6" t="n">
        <v>0.13</v>
      </c>
      <c r="F6" s="7" t="n">
        <f aca="false">D6*E6</f>
        <v>0.13</v>
      </c>
      <c r="G6" s="4" t="s">
        <v>14</v>
      </c>
      <c r="H6" s="4" t="s">
        <v>19</v>
      </c>
      <c r="I6" s="4" t="s">
        <v>20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s">
        <v>23</v>
      </c>
      <c r="D7" s="5" t="n">
        <v>1</v>
      </c>
      <c r="E7" s="6" t="n">
        <v>0.17</v>
      </c>
      <c r="F7" s="7" t="n">
        <f aca="false">D7*E7</f>
        <v>0.17</v>
      </c>
      <c r="G7" s="4" t="s">
        <v>14</v>
      </c>
      <c r="H7" s="4" t="s">
        <v>24</v>
      </c>
      <c r="I7" s="4"/>
    </row>
    <row r="8" customFormat="false" ht="15" hidden="false" customHeight="false" outlineLevel="0" collapsed="false">
      <c r="A8" s="4" t="s">
        <v>25</v>
      </c>
      <c r="B8" s="4" t="s">
        <v>26</v>
      </c>
      <c r="C8" s="4" t="s">
        <v>27</v>
      </c>
      <c r="D8" s="5" t="n">
        <v>1</v>
      </c>
      <c r="E8" s="6" t="n">
        <v>0.81</v>
      </c>
      <c r="F8" s="7" t="n">
        <f aca="false">D8*E8</f>
        <v>0.81</v>
      </c>
      <c r="G8" s="4" t="s">
        <v>14</v>
      </c>
      <c r="H8" s="4" t="s">
        <v>28</v>
      </c>
      <c r="I8" s="4" t="s">
        <v>29</v>
      </c>
    </row>
    <row r="9" customFormat="false" ht="15" hidden="false" customHeight="false" outlineLevel="0" collapsed="false">
      <c r="A9" s="4" t="s">
        <v>30</v>
      </c>
      <c r="B9" s="4" t="s">
        <v>31</v>
      </c>
      <c r="C9" s="4" t="s">
        <v>32</v>
      </c>
      <c r="D9" s="5" t="n">
        <v>1</v>
      </c>
      <c r="E9" s="6" t="n">
        <v>1.04</v>
      </c>
      <c r="F9" s="7" t="n">
        <f aca="false">D9*E9</f>
        <v>1.04</v>
      </c>
      <c r="G9" s="4" t="s">
        <v>14</v>
      </c>
      <c r="H9" s="4" t="s">
        <v>33</v>
      </c>
      <c r="I9" s="4" t="s">
        <v>34</v>
      </c>
    </row>
    <row r="10" customFormat="false" ht="15" hidden="false" customHeight="false" outlineLevel="0" collapsed="false">
      <c r="A10" s="4" t="s">
        <v>35</v>
      </c>
      <c r="B10" s="4"/>
      <c r="C10" s="4" t="s">
        <v>36</v>
      </c>
      <c r="D10" s="5" t="n">
        <v>5</v>
      </c>
      <c r="E10" s="8" t="n">
        <v>0.08</v>
      </c>
      <c r="F10" s="7" t="n">
        <f aca="false">D10*E10</f>
        <v>0.4</v>
      </c>
      <c r="G10" s="4" t="s">
        <v>14</v>
      </c>
      <c r="H10" s="4" t="s">
        <v>37</v>
      </c>
      <c r="I10" s="4" t="s">
        <v>38</v>
      </c>
    </row>
    <row r="11" customFormat="false" ht="15" hidden="false" customHeight="false" outlineLevel="0" collapsed="false">
      <c r="A11" s="4" t="s">
        <v>39</v>
      </c>
      <c r="B11" s="4"/>
      <c r="C11" s="4" t="s">
        <v>40</v>
      </c>
      <c r="D11" s="5" t="n">
        <v>1</v>
      </c>
      <c r="E11" s="8" t="n">
        <v>0.1</v>
      </c>
      <c r="F11" s="7" t="n">
        <f aca="false">D11*E11</f>
        <v>0.1</v>
      </c>
      <c r="G11" s="4" t="s">
        <v>14</v>
      </c>
      <c r="H11" s="4" t="s">
        <v>41</v>
      </c>
      <c r="I11" s="4" t="s">
        <v>38</v>
      </c>
    </row>
    <row r="12" customFormat="false" ht="23.85" hidden="false" customHeight="false" outlineLevel="0" collapsed="false">
      <c r="A12" s="4" t="s">
        <v>42</v>
      </c>
      <c r="B12" s="4"/>
      <c r="C12" s="4" t="s">
        <v>43</v>
      </c>
      <c r="D12" s="5" t="n">
        <v>1</v>
      </c>
      <c r="E12" s="8"/>
      <c r="F12" s="7"/>
      <c r="G12" s="4" t="s">
        <v>14</v>
      </c>
      <c r="H12" s="4" t="s">
        <v>44</v>
      </c>
      <c r="I12" s="4" t="s">
        <v>45</v>
      </c>
    </row>
    <row r="13" customFormat="false" ht="23.85" hidden="false" customHeight="false" outlineLevel="0" collapsed="false">
      <c r="A13" s="4" t="s">
        <v>46</v>
      </c>
      <c r="B13" s="4"/>
      <c r="C13" s="4" t="s">
        <v>47</v>
      </c>
      <c r="D13" s="5" t="n">
        <v>23</v>
      </c>
      <c r="E13" s="8" t="n">
        <v>0.02</v>
      </c>
      <c r="F13" s="7" t="n">
        <f aca="false">D13*E13</f>
        <v>0.46</v>
      </c>
      <c r="G13" s="4" t="s">
        <v>14</v>
      </c>
      <c r="H13" s="4" t="s">
        <v>48</v>
      </c>
      <c r="I13" s="4" t="s">
        <v>49</v>
      </c>
    </row>
    <row r="14" customFormat="false" ht="15" hidden="false" customHeight="false" outlineLevel="0" collapsed="false">
      <c r="A14" s="9" t="s">
        <v>50</v>
      </c>
      <c r="D14" s="9" t="n">
        <f aca="false">SUM(D5:D13)</f>
        <v>35</v>
      </c>
      <c r="F14" s="10" t="n">
        <f aca="false">SUM(F5:F13)</f>
        <v>6.42</v>
      </c>
    </row>
    <row r="16" customFormat="false" ht="15" hidden="false" customHeight="false" outlineLevel="0" collapsed="false">
      <c r="A16" s="2" t="s">
        <v>51</v>
      </c>
    </row>
    <row r="17" customFormat="false" ht="15" hidden="false" customHeight="false" outlineLevel="0" collapsed="false">
      <c r="A17" s="2" t="s">
        <v>52</v>
      </c>
    </row>
    <row r="18" customFormat="false" ht="15" hidden="false" customHeight="false" outlineLevel="0" collapsed="false">
      <c r="A18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2026-10-14T12:17:53Z</dcterms:created>
  <dc:creator>openpyxl</dc:creator>
  <dc:description/>
  <dc:language>en-US</dc:language>
  <cp:lastModifiedBy/>
  <dcterms:modified xsi:type="dcterms:W3CDTF">2026-10-14T12:17:53Z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